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thili V\Downloads\"/>
    </mc:Choice>
  </mc:AlternateContent>
  <xr:revisionPtr revIDLastSave="0" documentId="13_ncr:1_{7FF4C4DB-F39C-4BB8-8E44-83D71DB938AA}" xr6:coauthVersionLast="47" xr6:coauthVersionMax="47" xr10:uidLastSave="{00000000-0000-0000-0000-000000000000}"/>
  <bookViews>
    <workbookView xWindow="10956" yWindow="0" windowWidth="12900" windowHeight="60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5" i="1" l="1"/>
  <c r="K3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O2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N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9" i="1" l="1"/>
  <c r="M12" i="1"/>
  <c r="N3" i="1"/>
  <c r="M8" i="1" s="1"/>
  <c r="M10" i="1"/>
</calcChain>
</file>

<file path=xl/sharedStrings.xml><?xml version="1.0" encoding="utf-8"?>
<sst xmlns="http://schemas.openxmlformats.org/spreadsheetml/2006/main" count="186" uniqueCount="133">
  <si>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</si>
  <si>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</si>
  <si>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</si>
  <si>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</si>
  <si>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</si>
  <si>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</si>
  <si>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</si>
  <si>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</si>
  <si>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</si>
  <si>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</si>
  <si>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</si>
  <si>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</si>
  <si>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</si>
  <si>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</si>
  <si>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</si>
  <si>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</si>
  <si>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</si>
  <si>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</si>
  <si>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</si>
  <si>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</si>
  <si>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</si>
  <si>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</si>
  <si>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</si>
  <si>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</si>
  <si>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</si>
  <si>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</si>
  <si>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</si>
  <si>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</si>
  <si>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</si>
  <si>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</si>
  <si>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</si>
  <si>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</si>
  <si>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</si>
  <si>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</si>
  <si>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</si>
  <si>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</si>
  <si>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</si>
  <si>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</si>
  <si>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</si>
  <si>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</si>
  <si>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</si>
  <si>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</si>
  <si>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</si>
  <si>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</si>
  <si>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</si>
  <si>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</si>
  <si>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</si>
  <si>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</si>
  <si>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</si>
  <si>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</si>
  <si>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</si>
  <si>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</si>
  <si>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</si>
  <si>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</si>
  <si>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</si>
  <si>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</si>
  <si>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</si>
  <si>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</si>
  <si>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</si>
  <si>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</si>
  <si>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</si>
  <si>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</si>
  <si>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</si>
  <si>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</si>
  <si>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</si>
  <si>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</si>
  <si>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</si>
  <si>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</si>
  <si>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</si>
  <si>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</si>
  <si>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</si>
  <si>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</si>
  <si>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</si>
  <si>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</si>
  <si>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</si>
  <si>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</si>
  <si>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</si>
  <si>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</si>
  <si>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</si>
  <si>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</si>
  <si>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</si>
  <si>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</si>
  <si>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</si>
  <si>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</si>
  <si>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</si>
  <si>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</si>
  <si>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</si>
  <si>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</si>
  <si>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</si>
  <si>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</si>
  <si>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</si>
  <si>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</si>
  <si>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</si>
  <si>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</si>
  <si>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Sum,Count,Average</t>
  </si>
  <si>
    <t>1.Total Price of all products:</t>
  </si>
  <si>
    <t>A new column total price is created using  formula (price*quantity)</t>
  </si>
  <si>
    <t>To add the values,SUM(</t>
  </si>
  <si>
    <t>SUM(G2:G35) is used</t>
  </si>
  <si>
    <t>2.Number of products:</t>
  </si>
  <si>
    <t>formula used:</t>
  </si>
  <si>
    <t>COUNTA(A2:A35)</t>
  </si>
  <si>
    <t>3.Average Price:</t>
  </si>
  <si>
    <t>4.Minimum Price:</t>
  </si>
  <si>
    <t>Formula used:MIN(G2:G35)</t>
  </si>
  <si>
    <t>5.Maximum Price:</t>
  </si>
  <si>
    <t>Formula used:</t>
  </si>
  <si>
    <t>MAX(G2:G35)</t>
  </si>
  <si>
    <t>6.IF Function</t>
  </si>
  <si>
    <t>Price Range</t>
  </si>
  <si>
    <t>A new column named Price Range is created.</t>
  </si>
  <si>
    <t>Formula Used:</t>
  </si>
  <si>
    <t>IF(D2&gt;=500)"High Price"</t>
  </si>
  <si>
    <t>IF(D2&lt;500)"Standard Price"</t>
  </si>
  <si>
    <t>7.SUMIF Function:</t>
  </si>
  <si>
    <t>Total Price of products in electronics category:</t>
  </si>
  <si>
    <t>SUMIF(F2:F35,F2,G2:G35)</t>
  </si>
  <si>
    <t>8.COUNTIF Function:</t>
  </si>
  <si>
    <t>Number of Products with price less than $100</t>
  </si>
  <si>
    <t>COUNTIF(D2:D35,"&lt;100")</t>
  </si>
  <si>
    <t>9.LEFT Function:</t>
  </si>
  <si>
    <t>A new column named day has been created</t>
  </si>
  <si>
    <t>Day</t>
  </si>
  <si>
    <t>Country Code</t>
  </si>
  <si>
    <t>Month</t>
  </si>
  <si>
    <t>LEFT(A2,2)</t>
  </si>
  <si>
    <t>A new column named country code has been created</t>
  </si>
  <si>
    <t>Formula Used:RIGHT(A2,2)</t>
  </si>
  <si>
    <t>10.RIGHT Function:</t>
  </si>
  <si>
    <t>11.MID Function:</t>
  </si>
  <si>
    <t>A new column named Month has been created</t>
  </si>
  <si>
    <t>Formula Used:MID(A2,4,2)</t>
  </si>
  <si>
    <t>Total price\number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</si>
</sst>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1" applyNumberFormat="1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98B7C-D7D6-420D-91A8-B3AEAFA0999B}" name="Table1" displayName="Table1" ref="A1:K35" totalsRowShown="0" headerRowDxfId="12" dataDxfId="11">
  <autoFilter ref="A1:K35" xr:uid="{79B98B7C-D7D6-420D-91A8-B3AEAFA0999B}"/>
  <tableColumns count="11">
    <tableColumn id="1" xr3:uid="{75D2B51C-570A-46D0-BAB0-A2DF2DDF8367}" name="Product ID" dataDxfId="10"/>
    <tableColumn id="2" xr3:uid="{85F7D6BD-E948-4365-96F0-B4FADB08F8F9}" name="Product Name" dataDxfId="9"/>
    <tableColumn id="3" xr3:uid="{961CAEF5-8E1B-4BFF-9341-F7680ADD75C1}" name="Brand Name" dataDxfId="8"/>
    <tableColumn id="4" xr3:uid="{69CE9763-BD37-4FFE-8664-4500CE83A5A2}" name="Price ($)" dataDxfId="7"/>
    <tableColumn id="5" xr3:uid="{4F8E1805-954A-4837-ABE4-C87F7000AE02}" name="Quantity" dataDxfId="6"/>
    <tableColumn id="6" xr3:uid="{B66014F2-C35C-4415-9636-BE0980C1695D}" name="Category" dataDxfId="5"/>
    <tableColumn id="7" xr3:uid="{2CCAB6D6-E363-4CEB-9B8B-68FE45698B9B}" name="Total Price" dataDxfId="4">
      <calculatedColumnFormula>(Table1[[#This Row],[Price ($)]]*Table1[[#This Row],[Quantity]])</calculatedColumnFormula>
    </tableColumn>
    <tableColumn id="8" xr3:uid="{6E233E39-1E7B-416B-9EA3-814F76FF94D8}" name="Price Range" dataDxfId="3">
      <calculatedColumnFormula>IF(Table1[[#This Row],[Price ($)]]&gt;=500,"High Price","Standard Price")</calculatedColumnFormula>
    </tableColumn>
    <tableColumn id="9" xr3:uid="{4196B226-1F29-4733-8E22-04A0EB7FA2BF}" name="Day" dataDxfId="2">
      <calculatedColumnFormula>LEFT(Table1[[#This Row],[Product ID]],2)</calculatedColumnFormula>
    </tableColumn>
    <tableColumn id="10" xr3:uid="{EDE2A411-5C90-4B89-B250-DF63ED9BF3DA}" name="Country Code" dataDxfId="1">
      <calculatedColumnFormula>RIGHT(Table1[[#This Row],[Product ID]],2)</calculatedColumnFormula>
    </tableColumn>
    <tableColumn id="11" xr3:uid="{4FB1449A-7802-4DFD-8719-9D6A86DAD2CE}" name="Month" dataDxfId="0">
      <calculatedColumnFormula>MID(Table1[[#This Row],[Product ID]],4,2)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H24" workbookViewId="0">
      <selection activeCell="M29" sqref="M29"/>
    </sheetView>
  </sheetViews>
  <sheetFormatPr defaultColWidth="12.6640625" defaultRowHeight="15" customHeight="1" x14ac:dyDescent="0.25"/>
  <cols>
    <col min="2" max="2" width="15.33203125" customWidth="1"/>
    <col min="3" max="3" width="13.6640625" customWidth="1"/>
    <col min="7" max="7" width="14" customWidth="1"/>
    <col min="8" max="8" width="15.554687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1" t="s">
        <v>109</v>
      </c>
      <c r="I1" s="1" t="s">
        <v>122</v>
      </c>
      <c r="J1" s="1" t="s">
        <v>123</v>
      </c>
      <c r="K1" s="1" t="s">
        <v>124</v>
      </c>
    </row>
    <row r="2" spans="1:15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3">
        <f>(Table1[[#This Row],[Price ($)]]*Table1[[#This Row],[Quantity]])</f>
        <v>30000</v>
      </c>
      <c r="H2" s="3" t="str">
        <f>IF(Table1[[#This Row],[Price ($)]]&gt;=500,"High Price","Standard Price")</f>
        <v>High Price</v>
      </c>
      <c r="I2" s="3" t="str">
        <f>LEFT(Table1[[#This Row],[Product ID]],2)</f>
        <v>28</v>
      </c>
      <c r="J2" s="3" t="str">
        <f>RIGHT(Table1[[#This Row],[Product ID]],2)</f>
        <v>US</v>
      </c>
      <c r="K2" s="3" t="str">
        <f>MID(Table1[[#This Row],[Product ID]],4,2)</f>
        <v>JA</v>
      </c>
      <c r="L2" t="s">
        <v>94</v>
      </c>
    </row>
    <row r="3" spans="1:15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>
        <f>(Table1[[#This Row],[Price ($)]]*Table1[[#This Row],[Quantity]])</f>
        <v>1200</v>
      </c>
      <c r="H3" s="3" t="str">
        <f>IF(Table1[[#This Row],[Price ($)]]&gt;=500,"High Price","Standard Price")</f>
        <v>Standard Price</v>
      </c>
      <c r="I3" s="3" t="str">
        <f>LEFT(Table1[[#This Row],[Product ID]],2)</f>
        <v>15</v>
      </c>
      <c r="J3" s="3" t="str">
        <f>RIGHT(Table1[[#This Row],[Product ID]],2)</f>
        <v>US</v>
      </c>
      <c r="K3" s="3" t="str">
        <f>MID(Table1[[#This Row],[Product ID]],4,2)</f>
        <v>FE</v>
      </c>
      <c r="L3" t="s">
        <v>95</v>
      </c>
      <c r="N3" s="5">
        <f>SUM(G2:G35)</f>
        <v>289700</v>
      </c>
    </row>
    <row r="4" spans="1:15" ht="15.75" customHeight="1" x14ac:dyDescent="0.25">
      <c r="A4" s="2" t="s">
        <v>14</v>
      </c>
      <c r="B4" s="2" t="s">
        <v>15</v>
      </c>
      <c r="C4" s="2" t="s">
        <v>16</v>
      </c>
      <c r="D4" s="4">
        <v>130</v>
      </c>
      <c r="E4" s="2">
        <v>40</v>
      </c>
      <c r="F4" s="2" t="s">
        <v>17</v>
      </c>
      <c r="G4" s="3">
        <f>(Table1[[#This Row],[Price ($)]]*Table1[[#This Row],[Quantity]])</f>
        <v>5200</v>
      </c>
      <c r="H4" s="3" t="str">
        <f>IF(Table1[[#This Row],[Price ($)]]&gt;=500,"High Price","Standard Price")</f>
        <v>Standard Price</v>
      </c>
      <c r="I4" s="3" t="str">
        <f>LEFT(Table1[[#This Row],[Product ID]],2)</f>
        <v>03</v>
      </c>
      <c r="J4" s="3" t="str">
        <f>RIGHT(Table1[[#This Row],[Product ID]],2)</f>
        <v>US</v>
      </c>
      <c r="K4" s="3" t="str">
        <f>MID(Table1[[#This Row],[Product ID]],4,2)</f>
        <v>MA</v>
      </c>
      <c r="L4" t="s">
        <v>96</v>
      </c>
    </row>
    <row r="5" spans="1:15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>
        <f>(Table1[[#This Row],[Price ($)]]*Table1[[#This Row],[Quantity]])</f>
        <v>22500</v>
      </c>
      <c r="H5" s="3" t="str">
        <f>IF(Table1[[#This Row],[Price ($)]]&gt;=500,"High Price","Standard Price")</f>
        <v>High Price</v>
      </c>
      <c r="I5" s="3" t="str">
        <f>LEFT(Table1[[#This Row],[Product ID]],2)</f>
        <v>11</v>
      </c>
      <c r="J5" s="3" t="str">
        <f>RIGHT(Table1[[#This Row],[Product ID]],2)</f>
        <v>US</v>
      </c>
      <c r="K5" s="3" t="str">
        <f>MID(Table1[[#This Row],[Product ID]],4,2)</f>
        <v>AP</v>
      </c>
      <c r="L5" t="s">
        <v>97</v>
      </c>
      <c r="M5" s="6" t="s">
        <v>98</v>
      </c>
    </row>
    <row r="6" spans="1:15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3">
        <f>(Table1[[#This Row],[Price ($)]]*Table1[[#This Row],[Quantity]])</f>
        <v>1400</v>
      </c>
      <c r="H6" s="3" t="str">
        <f>IF(Table1[[#This Row],[Price ($)]]&gt;=500,"High Price","Standard Price")</f>
        <v>Standard Price</v>
      </c>
      <c r="I6" s="3" t="str">
        <f>LEFT(Table1[[#This Row],[Product ID]],2)</f>
        <v>22</v>
      </c>
      <c r="J6" s="3" t="str">
        <f>RIGHT(Table1[[#This Row],[Product ID]],2)</f>
        <v>US</v>
      </c>
      <c r="K6" s="3" t="str">
        <f>MID(Table1[[#This Row],[Product ID]],4,2)</f>
        <v>MA</v>
      </c>
      <c r="L6" t="s">
        <v>99</v>
      </c>
      <c r="N6" s="5">
        <f>COUNTA(A2:A35)</f>
        <v>34</v>
      </c>
    </row>
    <row r="7" spans="1:15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>
        <f>(Table1[[#This Row],[Price ($)]]*Table1[[#This Row],[Quantity]])</f>
        <v>9000</v>
      </c>
      <c r="H7" s="3" t="str">
        <f>IF(Table1[[#This Row],[Price ($)]]&gt;=500,"High Price","Standard Price")</f>
        <v>Standard Price</v>
      </c>
      <c r="I7" s="3" t="str">
        <f>LEFT(Table1[[#This Row],[Product ID]],2)</f>
        <v>07</v>
      </c>
      <c r="J7" s="3" t="str">
        <f>RIGHT(Table1[[#This Row],[Product ID]],2)</f>
        <v>UK</v>
      </c>
      <c r="K7" s="3" t="str">
        <f>MID(Table1[[#This Row],[Product ID]],4,2)</f>
        <v>JU</v>
      </c>
      <c r="L7" t="s">
        <v>100</v>
      </c>
      <c r="M7" s="6" t="s">
        <v>101</v>
      </c>
    </row>
    <row r="8" spans="1:15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3">
        <f>(Table1[[#This Row],[Price ($)]]*Table1[[#This Row],[Quantity]])</f>
        <v>150</v>
      </c>
      <c r="H8" s="3" t="str">
        <f>IF(Table1[[#This Row],[Price ($)]]&gt;=500,"High Price","Standard Price")</f>
        <v>Standard Price</v>
      </c>
      <c r="I8" s="3" t="str">
        <f>LEFT(Table1[[#This Row],[Product ID]],2)</f>
        <v>19</v>
      </c>
      <c r="J8" s="3" t="str">
        <f>RIGHT(Table1[[#This Row],[Product ID]],2)</f>
        <v>UK</v>
      </c>
      <c r="K8" s="3" t="str">
        <f>MID(Table1[[#This Row],[Product ID]],4,2)</f>
        <v>JU</v>
      </c>
      <c r="L8" t="s">
        <v>102</v>
      </c>
      <c r="M8" s="5">
        <f>N3/N6</f>
        <v>8520.5882352941171</v>
      </c>
    </row>
    <row r="9" spans="1:15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>
        <f>(Table1[[#This Row],[Price ($)]]*Table1[[#This Row],[Quantity]])</f>
        <v>3150</v>
      </c>
      <c r="H9" s="3" t="str">
        <f>IF(Table1[[#This Row],[Price ($)]]&gt;=500,"High Price","Standard Price")</f>
        <v>Standard Price</v>
      </c>
      <c r="I9" s="3" t="str">
        <f>LEFT(Table1[[#This Row],[Product ID]],2)</f>
        <v>23</v>
      </c>
      <c r="J9" s="3" t="str">
        <f>RIGHT(Table1[[#This Row],[Product ID]],2)</f>
        <v>UK</v>
      </c>
      <c r="K9" s="3" t="str">
        <f>MID(Table1[[#This Row],[Product ID]],4,2)</f>
        <v>AU</v>
      </c>
      <c r="L9" t="s">
        <v>100</v>
      </c>
      <c r="M9" t="s">
        <v>132</v>
      </c>
    </row>
    <row r="10" spans="1:15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3">
        <f>(Table1[[#This Row],[Price ($)]]*Table1[[#This Row],[Quantity]])</f>
        <v>25000</v>
      </c>
      <c r="H10" s="3" t="str">
        <f>IF(Table1[[#This Row],[Price ($)]]&gt;=500,"High Price","Standard Price")</f>
        <v>High Price</v>
      </c>
      <c r="I10" s="3" t="str">
        <f>LEFT(Table1[[#This Row],[Product ID]],2)</f>
        <v>05</v>
      </c>
      <c r="J10" s="3" t="str">
        <f>RIGHT(Table1[[#This Row],[Product ID]],2)</f>
        <v>UK</v>
      </c>
      <c r="K10" s="3" t="str">
        <f>MID(Table1[[#This Row],[Product ID]],4,2)</f>
        <v>SE</v>
      </c>
      <c r="L10" t="s">
        <v>103</v>
      </c>
      <c r="M10" s="5">
        <f>MIN(G2:G35)</f>
        <v>150</v>
      </c>
    </row>
    <row r="11" spans="1:15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>
        <f>(Table1[[#This Row],[Price ($)]]*Table1[[#This Row],[Quantity]])</f>
        <v>1300</v>
      </c>
      <c r="H11" s="3" t="str">
        <f>IF(Table1[[#This Row],[Price ($)]]&gt;=500,"High Price","Standard Price")</f>
        <v>Standard Price</v>
      </c>
      <c r="I11" s="3" t="str">
        <f>LEFT(Table1[[#This Row],[Product ID]],2)</f>
        <v>14</v>
      </c>
      <c r="J11" s="3" t="str">
        <f>RIGHT(Table1[[#This Row],[Product ID]],2)</f>
        <v>UK</v>
      </c>
      <c r="K11" s="3" t="str">
        <f>MID(Table1[[#This Row],[Product ID]],4,2)</f>
        <v>OC</v>
      </c>
      <c r="L11" t="s">
        <v>104</v>
      </c>
      <c r="M11" s="6"/>
    </row>
    <row r="12" spans="1:15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3">
        <f>(Table1[[#This Row],[Price ($)]]*Table1[[#This Row],[Quantity]])</f>
        <v>23750</v>
      </c>
      <c r="H12" s="3" t="str">
        <f>IF(Table1[[#This Row],[Price ($)]]&gt;=500,"High Price","Standard Price")</f>
        <v>High Price</v>
      </c>
      <c r="I12" s="3" t="str">
        <f>LEFT(Table1[[#This Row],[Product ID]],2)</f>
        <v>17</v>
      </c>
      <c r="J12" s="3" t="str">
        <f>RIGHT(Table1[[#This Row],[Product ID]],2)</f>
        <v>IN</v>
      </c>
      <c r="K12" s="3" t="str">
        <f>MID(Table1[[#This Row],[Product ID]],4,2)</f>
        <v>JU</v>
      </c>
      <c r="L12" t="s">
        <v>105</v>
      </c>
      <c r="M12" s="5">
        <f>MAX(G2:G35)</f>
        <v>36000</v>
      </c>
    </row>
    <row r="13" spans="1:15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>
        <f>(Table1[[#This Row],[Price ($)]]*Table1[[#This Row],[Quantity]])</f>
        <v>3600</v>
      </c>
      <c r="H13" s="3" t="str">
        <f>IF(Table1[[#This Row],[Price ($)]]&gt;=500,"High Price","Standard Price")</f>
        <v>Standard Price</v>
      </c>
      <c r="I13" s="3" t="str">
        <f>LEFT(Table1[[#This Row],[Product ID]],2)</f>
        <v>25</v>
      </c>
      <c r="J13" s="3" t="str">
        <f>RIGHT(Table1[[#This Row],[Product ID]],2)</f>
        <v>AU</v>
      </c>
      <c r="K13" s="3" t="str">
        <f>MID(Table1[[#This Row],[Product ID]],4,2)</f>
        <v>NO</v>
      </c>
      <c r="L13" t="s">
        <v>106</v>
      </c>
      <c r="M13" s="6" t="s">
        <v>107</v>
      </c>
    </row>
    <row r="14" spans="1:15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3">
        <f>(Table1[[#This Row],[Price ($)]]*Table1[[#This Row],[Quantity]])</f>
        <v>4200</v>
      </c>
      <c r="H14" s="3" t="str">
        <f>IF(Table1[[#This Row],[Price ($)]]&gt;=500,"High Price","Standard Price")</f>
        <v>Standard Price</v>
      </c>
      <c r="I14" s="3" t="str">
        <f>LEFT(Table1[[#This Row],[Product ID]],2)</f>
        <v>08</v>
      </c>
      <c r="J14" s="3" t="str">
        <f>RIGHT(Table1[[#This Row],[Product ID]],2)</f>
        <v>DE</v>
      </c>
      <c r="K14" s="3" t="str">
        <f>MID(Table1[[#This Row],[Product ID]],4,2)</f>
        <v>DE</v>
      </c>
      <c r="L14" t="s">
        <v>108</v>
      </c>
    </row>
    <row r="15" spans="1:15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>
        <f>(Table1[[#This Row],[Price ($)]]*Table1[[#This Row],[Quantity]])</f>
        <v>2250</v>
      </c>
      <c r="H15" s="3" t="str">
        <f>IF(Table1[[#This Row],[Price ($)]]&gt;=500,"High Price","Standard Price")</f>
        <v>Standard Price</v>
      </c>
      <c r="I15" s="3" t="str">
        <f>LEFT(Table1[[#This Row],[Product ID]],2)</f>
        <v>18</v>
      </c>
      <c r="J15" s="3" t="str">
        <f>RIGHT(Table1[[#This Row],[Product ID]],2)</f>
        <v>CA</v>
      </c>
      <c r="K15" s="3" t="str">
        <f>MID(Table1[[#This Row],[Product ID]],4,2)</f>
        <v>FE</v>
      </c>
      <c r="L15" t="s">
        <v>110</v>
      </c>
    </row>
    <row r="16" spans="1:15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3">
        <f>(Table1[[#This Row],[Price ($)]]*Table1[[#This Row],[Quantity]])</f>
        <v>5000</v>
      </c>
      <c r="H16" s="3" t="str">
        <f>IF(Table1[[#This Row],[Price ($)]]&gt;=500,"High Price","Standard Price")</f>
        <v>Standard Price</v>
      </c>
      <c r="I16" s="3" t="str">
        <f>LEFT(Table1[[#This Row],[Product ID]],2)</f>
        <v>16</v>
      </c>
      <c r="J16" s="3" t="str">
        <f>RIGHT(Table1[[#This Row],[Product ID]],2)</f>
        <v>ES</v>
      </c>
      <c r="K16" s="3" t="str">
        <f>MID(Table1[[#This Row],[Product ID]],4,2)</f>
        <v>AP</v>
      </c>
      <c r="L16" t="s">
        <v>111</v>
      </c>
      <c r="M16" s="6" t="s">
        <v>112</v>
      </c>
      <c r="N16" s="6"/>
      <c r="O16" s="6"/>
    </row>
    <row r="17" spans="1:15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>
        <f>(Table1[[#This Row],[Price ($)]]*Table1[[#This Row],[Quantity]])</f>
        <v>1750</v>
      </c>
      <c r="H17" s="3" t="str">
        <f>IF(Table1[[#This Row],[Price ($)]]&gt;=500,"High Price","Standard Price")</f>
        <v>Standard Price</v>
      </c>
      <c r="I17" s="3" t="str">
        <f>LEFT(Table1[[#This Row],[Product ID]],2)</f>
        <v>21</v>
      </c>
      <c r="J17" s="3" t="str">
        <f>RIGHT(Table1[[#This Row],[Product ID]],2)</f>
        <v>CA</v>
      </c>
      <c r="K17" s="3" t="str">
        <f>MID(Table1[[#This Row],[Product ID]],4,2)</f>
        <v>AU</v>
      </c>
      <c r="M17" s="6" t="s">
        <v>113</v>
      </c>
      <c r="N17" s="6"/>
    </row>
    <row r="18" spans="1:15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3">
        <f>(Table1[[#This Row],[Price ($)]]*Table1[[#This Row],[Quantity]])</f>
        <v>2400</v>
      </c>
      <c r="H18" s="3" t="str">
        <f>IF(Table1[[#This Row],[Price ($)]]&gt;=500,"High Price","Standard Price")</f>
        <v>Standard Price</v>
      </c>
      <c r="I18" s="3" t="str">
        <f>LEFT(Table1[[#This Row],[Product ID]],2)</f>
        <v>20</v>
      </c>
      <c r="J18" s="3" t="str">
        <f>RIGHT(Table1[[#This Row],[Product ID]],2)</f>
        <v>CN</v>
      </c>
      <c r="K18" s="3" t="str">
        <f>MID(Table1[[#This Row],[Product ID]],4,2)</f>
        <v>AU</v>
      </c>
      <c r="L18" t="s">
        <v>114</v>
      </c>
      <c r="N18" s="7"/>
    </row>
    <row r="19" spans="1:15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>
        <f>(Table1[[#This Row],[Price ($)]]*Table1[[#This Row],[Quantity]])</f>
        <v>9800</v>
      </c>
      <c r="H19" s="3" t="str">
        <f>IF(Table1[[#This Row],[Price ($)]]&gt;=500,"High Price","Standard Price")</f>
        <v>High Price</v>
      </c>
      <c r="I19" s="3" t="str">
        <f>LEFT(Table1[[#This Row],[Product ID]],2)</f>
        <v>27</v>
      </c>
      <c r="J19" s="3" t="str">
        <f>RIGHT(Table1[[#This Row],[Product ID]],2)</f>
        <v>IT</v>
      </c>
      <c r="K19" s="3" t="str">
        <f>MID(Table1[[#This Row],[Product ID]],4,2)</f>
        <v>JA</v>
      </c>
      <c r="L19" t="s">
        <v>115</v>
      </c>
      <c r="O19" s="5">
        <f>SUMIF(F2:F35,F2,G2:G35)</f>
        <v>234200</v>
      </c>
    </row>
    <row r="20" spans="1:15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3">
        <f>(Table1[[#This Row],[Price ($)]]*Table1[[#This Row],[Quantity]])</f>
        <v>2250</v>
      </c>
      <c r="H20" s="3" t="str">
        <f>IF(Table1[[#This Row],[Price ($)]]&gt;=500,"High Price","Standard Price")</f>
        <v>Standard Price</v>
      </c>
      <c r="I20" s="3" t="str">
        <f>LEFT(Table1[[#This Row],[Product ID]],2)</f>
        <v>01</v>
      </c>
      <c r="J20" s="3" t="str">
        <f>RIGHT(Table1[[#This Row],[Product ID]],2)</f>
        <v>UK</v>
      </c>
      <c r="K20" s="3" t="str">
        <f>MID(Table1[[#This Row],[Product ID]],4,2)</f>
        <v>MA</v>
      </c>
      <c r="L20" t="s">
        <v>111</v>
      </c>
      <c r="M20" s="6" t="s">
        <v>116</v>
      </c>
      <c r="N20" s="6"/>
    </row>
    <row r="21" spans="1:15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>
        <f>(Table1[[#This Row],[Price ($)]]*Table1[[#This Row],[Quantity]])</f>
        <v>2000</v>
      </c>
      <c r="H21" s="3" t="str">
        <f>IF(Table1[[#This Row],[Price ($)]]&gt;=500,"High Price","Standard Price")</f>
        <v>Standard Price</v>
      </c>
      <c r="I21" s="3" t="str">
        <f>LEFT(Table1[[#This Row],[Product ID]],2)</f>
        <v>14</v>
      </c>
      <c r="J21" s="3" t="str">
        <f>RIGHT(Table1[[#This Row],[Product ID]],2)</f>
        <v>US</v>
      </c>
      <c r="K21" s="3" t="str">
        <f>MID(Table1[[#This Row],[Product ID]],4,2)</f>
        <v>AU</v>
      </c>
      <c r="L21" t="s">
        <v>117</v>
      </c>
    </row>
    <row r="22" spans="1:15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3">
        <f>(Table1[[#This Row],[Price ($)]]*Table1[[#This Row],[Quantity]])</f>
        <v>35000</v>
      </c>
      <c r="H22" s="3" t="str">
        <f>IF(Table1[[#This Row],[Price ($)]]&gt;=500,"High Price","Standard Price")</f>
        <v>High Price</v>
      </c>
      <c r="I22" s="3" t="str">
        <f>LEFT(Table1[[#This Row],[Product ID]],2)</f>
        <v>14</v>
      </c>
      <c r="J22" s="3" t="str">
        <f>RIGHT(Table1[[#This Row],[Product ID]],2)</f>
        <v>RU</v>
      </c>
      <c r="K22" s="3" t="str">
        <f>MID(Table1[[#This Row],[Product ID]],4,2)</f>
        <v>MA</v>
      </c>
      <c r="L22" t="s">
        <v>118</v>
      </c>
      <c r="O22" s="5">
        <f>COUNTIF(D2:D35,"&lt;100")</f>
        <v>11</v>
      </c>
    </row>
    <row r="23" spans="1:15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>
        <f>(Table1[[#This Row],[Price ($)]]*Table1[[#This Row],[Quantity]])</f>
        <v>1600</v>
      </c>
      <c r="H23" s="3" t="str">
        <f>IF(Table1[[#This Row],[Price ($)]]&gt;=500,"High Price","Standard Price")</f>
        <v>Standard Price</v>
      </c>
      <c r="I23" s="3" t="str">
        <f>LEFT(Table1[[#This Row],[Product ID]],2)</f>
        <v>09</v>
      </c>
      <c r="J23" s="3" t="str">
        <f>RIGHT(Table1[[#This Row],[Product ID]],2)</f>
        <v>CA</v>
      </c>
      <c r="K23" s="3" t="str">
        <f>MID(Table1[[#This Row],[Product ID]],4,2)</f>
        <v>JA</v>
      </c>
      <c r="L23" t="s">
        <v>111</v>
      </c>
      <c r="M23" s="6" t="s">
        <v>119</v>
      </c>
      <c r="N23" s="6"/>
    </row>
    <row r="24" spans="1:15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3">
        <f>(Table1[[#This Row],[Price ($)]]*Table1[[#This Row],[Quantity]])</f>
        <v>4500</v>
      </c>
      <c r="H24" s="3" t="str">
        <f>IF(Table1[[#This Row],[Price ($)]]&gt;=500,"High Price","Standard Price")</f>
        <v>Standard Price</v>
      </c>
      <c r="I24" s="3" t="str">
        <f>LEFT(Table1[[#This Row],[Product ID]],2)</f>
        <v>19</v>
      </c>
      <c r="J24" s="3" t="str">
        <f>RIGHT(Table1[[#This Row],[Product ID]],2)</f>
        <v>BR</v>
      </c>
      <c r="K24" s="3" t="str">
        <f>MID(Table1[[#This Row],[Product ID]],4,2)</f>
        <v>JU</v>
      </c>
      <c r="L24" t="s">
        <v>120</v>
      </c>
    </row>
    <row r="25" spans="1:15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>
        <f>(Table1[[#This Row],[Price ($)]]*Table1[[#This Row],[Quantity]])</f>
        <v>1750</v>
      </c>
      <c r="H25" s="3" t="str">
        <f>IF(Table1[[#This Row],[Price ($)]]&gt;=500,"High Price","Standard Price")</f>
        <v>Standard Price</v>
      </c>
      <c r="I25" s="3" t="str">
        <f>LEFT(Table1[[#This Row],[Product ID]],2)</f>
        <v>21</v>
      </c>
      <c r="J25" s="3" t="str">
        <f>RIGHT(Table1[[#This Row],[Product ID]],2)</f>
        <v>CA</v>
      </c>
      <c r="K25" s="3" t="str">
        <f>MID(Table1[[#This Row],[Product ID]],4,2)</f>
        <v>AU</v>
      </c>
      <c r="L25" t="s">
        <v>121</v>
      </c>
    </row>
    <row r="26" spans="1:15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3">
        <f>(Table1[[#This Row],[Price ($)]]*Table1[[#This Row],[Quantity]])</f>
        <v>36000</v>
      </c>
      <c r="H26" s="3" t="str">
        <f>IF(Table1[[#This Row],[Price ($)]]&gt;=500,"High Price","Standard Price")</f>
        <v>High Price</v>
      </c>
      <c r="I26" s="3" t="str">
        <f>LEFT(Table1[[#This Row],[Product ID]],2)</f>
        <v>29</v>
      </c>
      <c r="J26" s="3" t="str">
        <f>RIGHT(Table1[[#This Row],[Product ID]],2)</f>
        <v>CA</v>
      </c>
      <c r="K26" s="3" t="str">
        <f>MID(Table1[[#This Row],[Product ID]],4,2)</f>
        <v>SE</v>
      </c>
      <c r="L26" t="s">
        <v>111</v>
      </c>
      <c r="M26" s="6" t="s">
        <v>125</v>
      </c>
    </row>
    <row r="27" spans="1:15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>
        <f>(Table1[[#This Row],[Price ($)]]*Table1[[#This Row],[Quantity]])</f>
        <v>3250</v>
      </c>
      <c r="H27" s="3" t="str">
        <f>IF(Table1[[#This Row],[Price ($)]]&gt;=500,"High Price","Standard Price")</f>
        <v>Standard Price</v>
      </c>
      <c r="I27" s="3" t="str">
        <f>LEFT(Table1[[#This Row],[Product ID]],2)</f>
        <v>03</v>
      </c>
      <c r="J27" s="3" t="str">
        <f>RIGHT(Table1[[#This Row],[Product ID]],2)</f>
        <v>CA</v>
      </c>
      <c r="K27" s="3" t="str">
        <f>MID(Table1[[#This Row],[Product ID]],4,2)</f>
        <v>JU</v>
      </c>
      <c r="L27" t="s">
        <v>128</v>
      </c>
    </row>
    <row r="28" spans="1:15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3">
        <f>(Table1[[#This Row],[Price ($)]]*Table1[[#This Row],[Quantity]])</f>
        <v>16000</v>
      </c>
      <c r="H28" s="3" t="str">
        <f>IF(Table1[[#This Row],[Price ($)]]&gt;=500,"High Price","Standard Price")</f>
        <v>Standard Price</v>
      </c>
      <c r="I28" s="3" t="str">
        <f>LEFT(Table1[[#This Row],[Product ID]],2)</f>
        <v>11</v>
      </c>
      <c r="J28" s="3" t="str">
        <f>RIGHT(Table1[[#This Row],[Product ID]],2)</f>
        <v>CA</v>
      </c>
      <c r="K28" s="3" t="str">
        <f>MID(Table1[[#This Row],[Product ID]],4,2)</f>
        <v>JU</v>
      </c>
      <c r="L28" t="s">
        <v>126</v>
      </c>
    </row>
    <row r="29" spans="1:15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>
        <f>(Table1[[#This Row],[Price ($)]]*Table1[[#This Row],[Quantity]])</f>
        <v>4600</v>
      </c>
      <c r="H29" s="3" t="str">
        <f>IF(Table1[[#This Row],[Price ($)]]&gt;=500,"High Price","Standard Price")</f>
        <v>Standard Price</v>
      </c>
      <c r="I29" s="3" t="str">
        <f>LEFT(Table1[[#This Row],[Product ID]],2)</f>
        <v>16</v>
      </c>
      <c r="J29" s="3" t="str">
        <f>RIGHT(Table1[[#This Row],[Product ID]],2)</f>
        <v>ES</v>
      </c>
      <c r="K29" s="3" t="str">
        <f>MID(Table1[[#This Row],[Product ID]],4,2)</f>
        <v>AP</v>
      </c>
      <c r="L29" t="s">
        <v>127</v>
      </c>
      <c r="M29" s="6"/>
    </row>
    <row r="30" spans="1:15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3">
        <f>(Table1[[#This Row],[Price ($)]]*Table1[[#This Row],[Quantity]])</f>
        <v>1800</v>
      </c>
      <c r="H30" s="3" t="str">
        <f>IF(Table1[[#This Row],[Price ($)]]&gt;=500,"High Price","Standard Price")</f>
        <v>Standard Price</v>
      </c>
      <c r="I30" s="3" t="str">
        <f>LEFT(Table1[[#This Row],[Product ID]],2)</f>
        <v>07</v>
      </c>
      <c r="J30" s="3" t="str">
        <f>RIGHT(Table1[[#This Row],[Product ID]],2)</f>
        <v>CA</v>
      </c>
      <c r="K30" s="3" t="str">
        <f>MID(Table1[[#This Row],[Product ID]],4,2)</f>
        <v>MA</v>
      </c>
      <c r="L30" t="s">
        <v>129</v>
      </c>
    </row>
    <row r="31" spans="1:15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>
        <f>(Table1[[#This Row],[Price ($)]]*Table1[[#This Row],[Quantity]])</f>
        <v>400</v>
      </c>
      <c r="H31" s="3" t="str">
        <f>IF(Table1[[#This Row],[Price ($)]]&gt;=500,"High Price","Standard Price")</f>
        <v>Standard Price</v>
      </c>
      <c r="I31" s="3" t="str">
        <f>LEFT(Table1[[#This Row],[Product ID]],2)</f>
        <v>13</v>
      </c>
      <c r="J31" s="3" t="str">
        <f>RIGHT(Table1[[#This Row],[Product ID]],2)</f>
        <v>CA</v>
      </c>
      <c r="K31" s="3" t="str">
        <f>MID(Table1[[#This Row],[Product ID]],4,2)</f>
        <v>AP</v>
      </c>
      <c r="L31" t="s">
        <v>130</v>
      </c>
    </row>
    <row r="32" spans="1:15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3">
        <f>(Table1[[#This Row],[Price ($)]]*Table1[[#This Row],[Quantity]])</f>
        <v>650</v>
      </c>
      <c r="H32" s="3" t="str">
        <f>IF(Table1[[#This Row],[Price ($)]]&gt;=500,"High Price","Standard Price")</f>
        <v>Standard Price</v>
      </c>
      <c r="I32" s="3" t="str">
        <f>LEFT(Table1[[#This Row],[Product ID]],2)</f>
        <v>24</v>
      </c>
      <c r="J32" s="3" t="str">
        <f>RIGHT(Table1[[#This Row],[Product ID]],2)</f>
        <v>CA</v>
      </c>
      <c r="K32" s="3" t="str">
        <f>MID(Table1[[#This Row],[Product ID]],4,2)</f>
        <v>MA</v>
      </c>
      <c r="L32" t="s">
        <v>131</v>
      </c>
      <c r="M32" s="6"/>
    </row>
    <row r="33" spans="1:11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>
        <f>(Table1[[#This Row],[Price ($)]]*Table1[[#This Row],[Quantity]])</f>
        <v>2500</v>
      </c>
      <c r="H33" s="3" t="str">
        <f>IF(Table1[[#This Row],[Price ($)]]&gt;=500,"High Price","Standard Price")</f>
        <v>Standard Price</v>
      </c>
      <c r="I33" s="3" t="str">
        <f>LEFT(Table1[[#This Row],[Product ID]],2)</f>
        <v>02</v>
      </c>
      <c r="J33" s="3" t="str">
        <f>RIGHT(Table1[[#This Row],[Product ID]],2)</f>
        <v>CA</v>
      </c>
      <c r="K33" s="3" t="str">
        <f>MID(Table1[[#This Row],[Product ID]],4,2)</f>
        <v>DE</v>
      </c>
    </row>
    <row r="34" spans="1:11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3">
        <f>(Table1[[#This Row],[Price ($)]]*Table1[[#This Row],[Quantity]])</f>
        <v>23750</v>
      </c>
      <c r="H34" s="3" t="str">
        <f>IF(Table1[[#This Row],[Price ($)]]&gt;=500,"High Price","Standard Price")</f>
        <v>High Price</v>
      </c>
      <c r="I34" s="3" t="str">
        <f>LEFT(Table1[[#This Row],[Product ID]],2)</f>
        <v>17</v>
      </c>
      <c r="J34" s="3" t="str">
        <f>RIGHT(Table1[[#This Row],[Product ID]],2)</f>
        <v>IN</v>
      </c>
      <c r="K34" s="3" t="str">
        <f>MID(Table1[[#This Row],[Product ID]],4,2)</f>
        <v>JU</v>
      </c>
    </row>
    <row r="35" spans="1:11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>
        <f>(Table1[[#This Row],[Price ($)]]*Table1[[#This Row],[Quantity]])</f>
        <v>2000</v>
      </c>
      <c r="H35" s="3" t="str">
        <f>IF(Table1[[#This Row],[Price ($)]]&gt;=500,"High Price","Standard Price")</f>
        <v>Standard Price</v>
      </c>
      <c r="I35" s="3" t="str">
        <f>LEFT(Table1[[#This Row],[Product ID]],2)</f>
        <v>09</v>
      </c>
      <c r="J35" s="3" t="str">
        <f>RIGHT(Table1[[#This Row],[Product ID]],2)</f>
        <v>FR</v>
      </c>
      <c r="K35" s="3" t="str">
        <f>MID(Table1[[#This Row],[Product ID]],4,2)</f>
        <v>JU</v>
      </c>
    </row>
    <row r="36" spans="1:11" ht="15.75" customHeight="1" x14ac:dyDescent="0.25">
      <c r="A36" s="3"/>
      <c r="B36" s="3"/>
      <c r="C36" s="3"/>
      <c r="D36" s="3"/>
      <c r="E36" s="3"/>
      <c r="F36" s="3"/>
      <c r="G36" s="3"/>
    </row>
    <row r="37" spans="1:11" ht="15.75" customHeight="1" x14ac:dyDescent="0.25">
      <c r="A37" s="3"/>
      <c r="B37" s="3"/>
      <c r="C37" s="3"/>
      <c r="D37" s="3"/>
      <c r="E37" s="3"/>
      <c r="F37" s="3"/>
      <c r="G37" s="3"/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mythili v</cp:lastModifiedBy>
  <dcterms:modified xsi:type="dcterms:W3CDTF">2026-05-31T06:26:42Z</dcterms:modified>
</cp:coreProperties>
</file>